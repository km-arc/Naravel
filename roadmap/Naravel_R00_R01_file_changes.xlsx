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s" sheetId="1" state="visible" r:id="rId3"/>
    <sheet name="Summary" sheetId="2" state="visible" r:id="rId4"/>
  </sheets>
  <definedNames>
    <definedName function="false" hidden="true" localSheetId="0" name="_xlnm._FilterDatabase" vbProcedure="false">Files!$A$1:$H$19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FreeSans"/>
            <family val="2"/>
          </rPr>
          <t xml:space="preserve">ستون زرد قابل ویرایش است</t>
        </r>
        <r>
          <rPr>
            <sz val="10"/>
            <rFont val="Arial"/>
            <family val="2"/>
          </rPr>
          <t xml:space="preserve">: TODO / DOING / DONE. </t>
        </r>
        <r>
          <rPr>
            <sz val="10"/>
            <rFont val="FreeSans"/>
            <family val="2"/>
          </rPr>
          <t xml:space="preserve">جدول خلاصه خودکار به‌روز می‌شود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<sst xmlns="http://schemas.openxmlformats.org/spreadsheetml/2006/main" count="148" uniqueCount="72">
  <si>
    <t xml:space="preserve">#</t>
  </si>
  <si>
    <t xml:space="preserve">حوزه</t>
  </si>
  <si>
    <t xml:space="preserve">فایل / مسیر</t>
  </si>
  <si>
    <t xml:space="preserve">اقدام</t>
  </si>
  <si>
    <t xml:space="preserve">تغییر</t>
  </si>
  <si>
    <t xml:space="preserve">مرحله / وظیفه</t>
  </si>
  <si>
    <t xml:space="preserve">مسئول اجرا</t>
  </si>
  <si>
    <t xml:space="preserve">وضعیت</t>
  </si>
  <si>
    <t xml:space="preserve">CI</t>
  </si>
  <si>
    <t xml:space="preserve">.github/workflows/ci.yml</t>
  </si>
  <si>
    <t xml:space="preserve">جدید</t>
  </si>
  <si>
    <t xml:space="preserve">ابتدا build/test روی ubuntu؛ بعد jobهای fast (ubuntu/windows/macos) و services (فقط ubuntu: Redis, RabbitMQ, Memcached, Kafka)</t>
  </si>
  <si>
    <t xml:space="preserve">R00.T05 + R01.T04</t>
  </si>
  <si>
    <t xml:space="preserve">مرحله‌ی رود‌مپ</t>
  </si>
  <si>
    <t xml:space="preserve">TODO</t>
  </si>
  <si>
    <t xml:space="preserve">Directory.Build.props</t>
  </si>
  <si>
    <t xml:space="preserve">ویرایش</t>
  </si>
  <si>
    <t xml:space="preserve">TreatWarningsAsErrors برای src و تنظیمات SourceLink روی CI</t>
  </si>
  <si>
    <t xml:space="preserve">R01.T04</t>
  </si>
  <si>
    <t xml:space="preserve">README.md</t>
  </si>
  <si>
    <t xml:space="preserve">نشان وضعیت CI</t>
  </si>
  <si>
    <t xml:space="preserve">—</t>
  </si>
  <si>
    <t xml:space="preserve">نیاز به افزودن به رود‌مپ</t>
  </si>
  <si>
    <t xml:space="preserve">تست یکپارچه</t>
  </si>
  <si>
    <t xml:space="preserve">tests/Naravel.Queue.Tests/DriverTests.cs</t>
  </si>
  <si>
    <t xml:space="preserve">تبدیل به کلاس پایه‌ی قرارداد QueueDriverContractTests</t>
  </si>
  <si>
    <t xml:space="preserve">R01.T01</t>
  </si>
  <si>
    <t xml:space="preserve">tests/Naravel.Queue.Providers.Tests/</t>
  </si>
  <si>
    <t xml:space="preserve">تست Redis, RabbitMQ, Kafka (فعال با متغیر محیطی) و Database (با SQLite)</t>
  </si>
  <si>
    <t xml:space="preserve">R01.T03</t>
  </si>
  <si>
    <t xml:space="preserve">tests/Naravel.Cache.Tests/RedisProviderTests.cs و MemcachedProviderTests.cs</t>
  </si>
  <si>
    <t xml:space="preserve">هم‌راستا با الگوی متغیر محیطی</t>
  </si>
  <si>
    <t xml:space="preserve">Directory.Packages.props</t>
  </si>
  <si>
    <t xml:space="preserve">فقط Microsoft.EntityFrameworkCore.Sqlite (تست‌محور)</t>
  </si>
  <si>
    <t xml:space="preserve">Naravel.slnx</t>
  </si>
  <si>
    <t xml:space="preserve">افزودن پروژه‌ی جدید تست و benchmarks</t>
  </si>
  <si>
    <t xml:space="preserve">R01.T03 + R01.T06</t>
  </si>
  <si>
    <t xml:space="preserve">اصلاح کد</t>
  </si>
  <si>
    <t xml:space="preserve">src/Naravel.Queue/Serialization/IJobSerializer.cs</t>
  </si>
  <si>
    <t xml:space="preserve">رجیستری alias به‌جای Type.GetType (D-09)</t>
  </si>
  <si>
    <t xml:space="preserve">R00.T01</t>
  </si>
  <si>
    <t xml:space="preserve">src/Naravel.Queue/Worker/QueueWorkerService.cs</t>
  </si>
  <si>
    <t xml:space="preserve">یک deserialize در هر تلاش؛ ادامه‌ی chain با گزینه‌های اصلی</t>
  </si>
  <si>
    <t xml:space="preserve">R00.T01 + R00.T03</t>
  </si>
  <si>
    <t xml:space="preserve">src/Naravel.Queue/Dispatch/JobDispatcher.cs، JobChain.cs، Drivers/QueuedMessage.cs</t>
  </si>
  <si>
    <t xml:space="preserve">ذخیره‌ی connection و priority در chain (D-02, D-10)</t>
  </si>
  <si>
    <t xml:space="preserve">R00.T03</t>
  </si>
  <si>
    <t xml:space="preserve">src/Naravel.Queue.Redis/RedisQueueDriver.cs</t>
  </si>
  <si>
    <t xml:space="preserve">Pop/Push اتمیک با Lua (D-12)</t>
  </si>
  <si>
    <t xml:space="preserve">R01.T05</t>
  </si>
  <si>
    <t xml:space="preserve">src/Naravel.Queue.Kafka/KafkaQueueDriver.cs</t>
  </si>
  <si>
    <t xml:space="preserve">قفل روی consumer و commit ترتیبی offset (D-14)</t>
  </si>
  <si>
    <t xml:space="preserve">امنیت</t>
  </si>
  <si>
    <t xml:space="preserve">SECURITY.md</t>
  </si>
  <si>
    <t xml:space="preserve">سیاست گزارش آسیب‌پذیری</t>
  </si>
  <si>
    <t xml:space="preserve">R01.T08 (پیشنهادی)</t>
  </si>
  <si>
    <t xml:space="preserve">.github/workflows/codeql.yml</t>
  </si>
  <si>
    <t xml:space="preserve">تحلیل ایستای کد</t>
  </si>
  <si>
    <t xml:space="preserve">.github/dependabot.yml</t>
  </si>
  <si>
    <t xml:space="preserve">به‌روزرسانی خودکار وابستگی‌ها</t>
  </si>
  <si>
    <t xml:space="preserve">گام dotnet list package --vulnerable --include-transitive</t>
  </si>
  <si>
    <t xml:space="preserve">roadmap/stages/R01-driver-integration-tests.md</t>
  </si>
  <si>
    <t xml:space="preserve">افزودن R01.T08 Security review با Accept و چک‌لیست (ورودی نامطمئن از صف، مسیر فایل در File driver، اتصال بدون TLS، لاگ‌کردن payload)</t>
  </si>
  <si>
    <t xml:space="preserve">تعداد فایل</t>
  </si>
  <si>
    <t xml:space="preserve">DONE</t>
  </si>
  <si>
    <t xml:space="preserve">درصد پیشرفت</t>
  </si>
  <si>
    <t xml:space="preserve">جمع</t>
  </si>
  <si>
    <t xml:space="preserve">یادداشت‌ها (منبع: پاسخ قبلی در همین گفتگو)</t>
  </si>
  <si>
    <t xml:space="preserve">متغیرهای محیطی تست: NARAVEL_TEST_REDIS, NARAVEL_TEST_RABBITMQ, NARAVEL_TEST_KAFKA, NARAVEL_TEST_MEMCACHED؛ بدون آن‌ها تست skip می‌شود.</t>
  </si>
  <si>
    <t xml:space="preserve">تست واقعی RabbitMQ در R01 روی درایور فعلی (نسخه 6) اجرا می‌شود؛ بازنویسی async در R07 است.</t>
  </si>
  <si>
    <t xml:space="preserve">ردیف‌های «نیاز به افزودن به رود‌مپ» در Touch/Tasks مرحله‌ها نیستند و باید اول به stage file اضافه شوند.</t>
  </si>
  <si>
    <t xml:space="preserve">هیچ‌یک از این تغییرات هنوز اجرا نشده؛ build/test در محیط بازبینی اجرا نشد.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</si>
</sst>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9"/>
    <col collapsed="false" customWidth="true" hidden="false" outlineLevel="0" max="5" min="5" style="0" width="6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3" t="s">
        <v>8</v>
      </c>
      <c r="C2" s="3" t="s">
        <v>9</v>
      </c>
      <c r="D2" s="2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customFormat="false" ht="15" hidden="false" customHeight="false" outlineLevel="0" collapsed="false">
      <c r="A3" s="2" t="n">
        <v>2</v>
      </c>
      <c r="B3" s="3" t="s">
        <v>8</v>
      </c>
      <c r="C3" s="3" t="s">
        <v>15</v>
      </c>
      <c r="D3" s="2" t="s">
        <v>16</v>
      </c>
      <c r="E3" s="3" t="s">
        <v>17</v>
      </c>
      <c r="F3" s="3" t="s">
        <v>18</v>
      </c>
      <c r="G3" s="3" t="s">
        <v>13</v>
      </c>
      <c r="H3" s="4" t="s">
        <v>14</v>
      </c>
    </row>
    <row r="4" customFormat="false" ht="15" hidden="false" customHeight="false" outlineLevel="0" collapsed="false">
      <c r="A4" s="2" t="n">
        <v>3</v>
      </c>
      <c r="B4" s="3" t="s">
        <v>8</v>
      </c>
      <c r="C4" s="3" t="s">
        <v>19</v>
      </c>
      <c r="D4" s="2" t="s">
        <v>16</v>
      </c>
      <c r="E4" s="3" t="s">
        <v>20</v>
      </c>
      <c r="F4" s="3" t="s">
        <v>21</v>
      </c>
      <c r="G4" s="3" t="s">
        <v>22</v>
      </c>
      <c r="H4" s="4" t="s">
        <v>14</v>
      </c>
    </row>
    <row r="5" customFormat="false" ht="15" hidden="false" customHeight="false" outlineLevel="0" collapsed="false">
      <c r="A5" s="2" t="n">
        <v>4</v>
      </c>
      <c r="B5" s="3" t="s">
        <v>23</v>
      </c>
      <c r="C5" s="3" t="s">
        <v>24</v>
      </c>
      <c r="D5" s="2" t="s">
        <v>16</v>
      </c>
      <c r="E5" s="3" t="s">
        <v>25</v>
      </c>
      <c r="F5" s="3" t="s">
        <v>26</v>
      </c>
      <c r="G5" s="3" t="s">
        <v>13</v>
      </c>
      <c r="H5" s="4" t="s">
        <v>14</v>
      </c>
    </row>
    <row r="6" customFormat="false" ht="15" hidden="false" customHeight="false" outlineLevel="0" collapsed="false">
      <c r="A6" s="2" t="n">
        <v>5</v>
      </c>
      <c r="B6" s="3" t="s">
        <v>23</v>
      </c>
      <c r="C6" s="3" t="s">
        <v>27</v>
      </c>
      <c r="D6" s="2" t="s">
        <v>10</v>
      </c>
      <c r="E6" s="3" t="s">
        <v>28</v>
      </c>
      <c r="F6" s="3" t="s">
        <v>29</v>
      </c>
      <c r="G6" s="3" t="s">
        <v>13</v>
      </c>
      <c r="H6" s="4" t="s">
        <v>14</v>
      </c>
    </row>
    <row r="7" customFormat="false" ht="23.85" hidden="false" customHeight="false" outlineLevel="0" collapsed="false">
      <c r="A7" s="2" t="n">
        <v>6</v>
      </c>
      <c r="B7" s="3" t="s">
        <v>23</v>
      </c>
      <c r="C7" s="3" t="s">
        <v>30</v>
      </c>
      <c r="D7" s="2" t="s">
        <v>16</v>
      </c>
      <c r="E7" s="3" t="s">
        <v>31</v>
      </c>
      <c r="F7" s="3" t="s">
        <v>29</v>
      </c>
      <c r="G7" s="3" t="s">
        <v>13</v>
      </c>
      <c r="H7" s="4" t="s">
        <v>14</v>
      </c>
    </row>
    <row r="8" customFormat="false" ht="15" hidden="false" customHeight="false" outlineLevel="0" collapsed="false">
      <c r="A8" s="2" t="n">
        <v>7</v>
      </c>
      <c r="B8" s="3" t="s">
        <v>23</v>
      </c>
      <c r="C8" s="3" t="s">
        <v>32</v>
      </c>
      <c r="D8" s="2" t="s">
        <v>16</v>
      </c>
      <c r="E8" s="3" t="s">
        <v>33</v>
      </c>
      <c r="F8" s="3" t="s">
        <v>29</v>
      </c>
      <c r="G8" s="3" t="s">
        <v>13</v>
      </c>
      <c r="H8" s="4" t="s">
        <v>14</v>
      </c>
    </row>
    <row r="9" customFormat="false" ht="15" hidden="false" customHeight="false" outlineLevel="0" collapsed="false">
      <c r="A9" s="2" t="n">
        <v>8</v>
      </c>
      <c r="B9" s="3" t="s">
        <v>23</v>
      </c>
      <c r="C9" s="3" t="s">
        <v>34</v>
      </c>
      <c r="D9" s="2" t="s">
        <v>16</v>
      </c>
      <c r="E9" s="3" t="s">
        <v>35</v>
      </c>
      <c r="F9" s="3" t="s">
        <v>36</v>
      </c>
      <c r="G9" s="3" t="s">
        <v>13</v>
      </c>
      <c r="H9" s="4" t="s">
        <v>14</v>
      </c>
    </row>
    <row r="10" customFormat="false" ht="15" hidden="false" customHeight="false" outlineLevel="0" collapsed="false">
      <c r="A10" s="2" t="n">
        <v>9</v>
      </c>
      <c r="B10" s="3" t="s">
        <v>37</v>
      </c>
      <c r="C10" s="3" t="s">
        <v>38</v>
      </c>
      <c r="D10" s="2" t="s">
        <v>16</v>
      </c>
      <c r="E10" s="3" t="s">
        <v>39</v>
      </c>
      <c r="F10" s="3" t="s">
        <v>40</v>
      </c>
      <c r="G10" s="3" t="s">
        <v>13</v>
      </c>
      <c r="H10" s="4" t="s">
        <v>14</v>
      </c>
    </row>
    <row r="11" customFormat="false" ht="15" hidden="false" customHeight="false" outlineLevel="0" collapsed="false">
      <c r="A11" s="2" t="n">
        <v>10</v>
      </c>
      <c r="B11" s="3" t="s">
        <v>37</v>
      </c>
      <c r="C11" s="3" t="s">
        <v>41</v>
      </c>
      <c r="D11" s="2" t="s">
        <v>16</v>
      </c>
      <c r="E11" s="3" t="s">
        <v>42</v>
      </c>
      <c r="F11" s="3" t="s">
        <v>43</v>
      </c>
      <c r="G11" s="3" t="s">
        <v>13</v>
      </c>
      <c r="H11" s="4" t="s">
        <v>14</v>
      </c>
    </row>
    <row r="12" customFormat="false" ht="23.85" hidden="false" customHeight="false" outlineLevel="0" collapsed="false">
      <c r="A12" s="2" t="n">
        <v>11</v>
      </c>
      <c r="B12" s="3" t="s">
        <v>37</v>
      </c>
      <c r="C12" s="3" t="s">
        <v>44</v>
      </c>
      <c r="D12" s="2" t="s">
        <v>16</v>
      </c>
      <c r="E12" s="3" t="s">
        <v>45</v>
      </c>
      <c r="F12" s="3" t="s">
        <v>46</v>
      </c>
      <c r="G12" s="3" t="s">
        <v>13</v>
      </c>
      <c r="H12" s="4" t="s">
        <v>14</v>
      </c>
    </row>
    <row r="13" customFormat="false" ht="15" hidden="false" customHeight="false" outlineLevel="0" collapsed="false">
      <c r="A13" s="2" t="n">
        <v>12</v>
      </c>
      <c r="B13" s="3" t="s">
        <v>37</v>
      </c>
      <c r="C13" s="3" t="s">
        <v>47</v>
      </c>
      <c r="D13" s="2" t="s">
        <v>16</v>
      </c>
      <c r="E13" s="3" t="s">
        <v>48</v>
      </c>
      <c r="F13" s="3" t="s">
        <v>49</v>
      </c>
      <c r="G13" s="3" t="s">
        <v>13</v>
      </c>
      <c r="H13" s="4" t="s">
        <v>14</v>
      </c>
    </row>
    <row r="14" customFormat="false" ht="15" hidden="false" customHeight="false" outlineLevel="0" collapsed="false">
      <c r="A14" s="2" t="n">
        <v>13</v>
      </c>
      <c r="B14" s="3" t="s">
        <v>37</v>
      </c>
      <c r="C14" s="3" t="s">
        <v>50</v>
      </c>
      <c r="D14" s="2" t="s">
        <v>16</v>
      </c>
      <c r="E14" s="3" t="s">
        <v>51</v>
      </c>
      <c r="F14" s="3" t="s">
        <v>49</v>
      </c>
      <c r="G14" s="3" t="s">
        <v>13</v>
      </c>
      <c r="H14" s="4" t="s">
        <v>14</v>
      </c>
    </row>
    <row r="15" customFormat="false" ht="15" hidden="false" customHeight="false" outlineLevel="0" collapsed="false">
      <c r="A15" s="2" t="n">
        <v>14</v>
      </c>
      <c r="B15" s="3" t="s">
        <v>52</v>
      </c>
      <c r="C15" s="3" t="s">
        <v>53</v>
      </c>
      <c r="D15" s="2" t="s">
        <v>10</v>
      </c>
      <c r="E15" s="3" t="s">
        <v>54</v>
      </c>
      <c r="F15" s="3" t="s">
        <v>55</v>
      </c>
      <c r="G15" s="3" t="s">
        <v>22</v>
      </c>
      <c r="H15" s="4" t="s">
        <v>14</v>
      </c>
    </row>
    <row r="16" customFormat="false" ht="15" hidden="false" customHeight="false" outlineLevel="0" collapsed="false">
      <c r="A16" s="2" t="n">
        <v>15</v>
      </c>
      <c r="B16" s="3" t="s">
        <v>52</v>
      </c>
      <c r="C16" s="3" t="s">
        <v>56</v>
      </c>
      <c r="D16" s="2" t="s">
        <v>10</v>
      </c>
      <c r="E16" s="3" t="s">
        <v>57</v>
      </c>
      <c r="F16" s="3" t="s">
        <v>55</v>
      </c>
      <c r="G16" s="3" t="s">
        <v>22</v>
      </c>
      <c r="H16" s="4" t="s">
        <v>14</v>
      </c>
    </row>
    <row r="17" customFormat="false" ht="15" hidden="false" customHeight="false" outlineLevel="0" collapsed="false">
      <c r="A17" s="2" t="n">
        <v>16</v>
      </c>
      <c r="B17" s="3" t="s">
        <v>52</v>
      </c>
      <c r="C17" s="3" t="s">
        <v>58</v>
      </c>
      <c r="D17" s="2" t="s">
        <v>10</v>
      </c>
      <c r="E17" s="3" t="s">
        <v>59</v>
      </c>
      <c r="F17" s="3" t="s">
        <v>55</v>
      </c>
      <c r="G17" s="3" t="s">
        <v>22</v>
      </c>
      <c r="H17" s="4" t="s">
        <v>14</v>
      </c>
    </row>
    <row r="18" customFormat="false" ht="15" hidden="false" customHeight="false" outlineLevel="0" collapsed="false">
      <c r="A18" s="2" t="n">
        <v>17</v>
      </c>
      <c r="B18" s="3" t="s">
        <v>52</v>
      </c>
      <c r="C18" s="3" t="s">
        <v>9</v>
      </c>
      <c r="D18" s="2" t="s">
        <v>16</v>
      </c>
      <c r="E18" s="3" t="s">
        <v>60</v>
      </c>
      <c r="F18" s="3" t="s">
        <v>18</v>
      </c>
      <c r="G18" s="3" t="s">
        <v>13</v>
      </c>
      <c r="H18" s="4" t="s">
        <v>14</v>
      </c>
    </row>
    <row r="19" customFormat="false" ht="23.85" hidden="false" customHeight="false" outlineLevel="0" collapsed="false">
      <c r="A19" s="2" t="n">
        <v>18</v>
      </c>
      <c r="B19" s="3" t="s">
        <v>52</v>
      </c>
      <c r="C19" s="3" t="s">
        <v>61</v>
      </c>
      <c r="D19" s="2" t="s">
        <v>16</v>
      </c>
      <c r="E19" s="3" t="s">
        <v>62</v>
      </c>
      <c r="F19" s="3" t="s">
        <v>55</v>
      </c>
      <c r="G19" s="3" t="s">
        <v>22</v>
      </c>
      <c r="H19" s="4" t="s">
        <v>14</v>
      </c>
    </row>
  </sheetData>
  <autoFilter ref="A1:H19"/>
  <dataValidations count="1">
    <dataValidation allowBlank="false" errorStyle="stop" operator="between" showDropDown="false" showErrorMessage="false" showInputMessage="false" sqref="H2:H19" type="list">
      <formula1>"TODO,DOING,DONE"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1</v>
      </c>
      <c r="B1" s="5" t="s">
        <v>63</v>
      </c>
      <c r="C1" s="5" t="s">
        <v>64</v>
      </c>
      <c r="D1" s="5" t="s">
        <v>65</v>
      </c>
    </row>
    <row r="2" customFormat="false" ht="15" hidden="false" customHeight="false" outlineLevel="0" collapsed="false">
      <c r="A2" s="6" t="s">
        <v>8</v>
      </c>
      <c r="B2" s="6" t="n">
        <f aca="false">COUNTIF(Files!$B$2:$B$19,A2)</f>
        <v>3</v>
      </c>
      <c r="C2" s="6" t="n">
        <f aca="false">COUNTIFS(Files!$B$2:$B$19,A2,Files!$H$2:$H$19,"DONE")</f>
        <v>0</v>
      </c>
      <c r="D2" s="7" t="n">
        <f aca="false">IF(B2=0,0,C2/B2)</f>
        <v>0</v>
      </c>
    </row>
    <row r="3" customFormat="false" ht="15" hidden="false" customHeight="false" outlineLevel="0" collapsed="false">
      <c r="A3" s="6" t="s">
        <v>23</v>
      </c>
      <c r="B3" s="6" t="n">
        <f aca="false">COUNTIF(Files!$B$2:$B$19,A3)</f>
        <v>5</v>
      </c>
      <c r="C3" s="6" t="n">
        <f aca="false">COUNTIFS(Files!$B$2:$B$19,A3,Files!$H$2:$H$19,"DONE")</f>
        <v>0</v>
      </c>
      <c r="D3" s="7" t="n">
        <f aca="false">IF(B3=0,0,C3/B3)</f>
        <v>0</v>
      </c>
    </row>
    <row r="4" customFormat="false" ht="15" hidden="false" customHeight="false" outlineLevel="0" collapsed="false">
      <c r="A4" s="6" t="s">
        <v>37</v>
      </c>
      <c r="B4" s="6" t="n">
        <f aca="false">COUNTIF(Files!$B$2:$B$19,A4)</f>
        <v>5</v>
      </c>
      <c r="C4" s="6" t="n">
        <f aca="false">COUNTIFS(Files!$B$2:$B$19,A4,Files!$H$2:$H$19,"DONE")</f>
        <v>0</v>
      </c>
      <c r="D4" s="7" t="n">
        <f aca="false">IF(B4=0,0,C4/B4)</f>
        <v>0</v>
      </c>
    </row>
    <row r="5" customFormat="false" ht="15" hidden="false" customHeight="false" outlineLevel="0" collapsed="false">
      <c r="A5" s="6" t="s">
        <v>52</v>
      </c>
      <c r="B5" s="6" t="n">
        <f aca="false">COUNTIF(Files!$B$2:$B$19,A5)</f>
        <v>5</v>
      </c>
      <c r="C5" s="6" t="n">
        <f aca="false">COUNTIFS(Files!$B$2:$B$19,A5,Files!$H$2:$H$19,"DONE")</f>
        <v>0</v>
      </c>
      <c r="D5" s="7" t="n">
        <f aca="false">IF(B5=0,0,C5/B5)</f>
        <v>0</v>
      </c>
    </row>
    <row r="6" customFormat="false" ht="15" hidden="false" customHeight="false" outlineLevel="0" collapsed="false">
      <c r="A6" s="8" t="s">
        <v>66</v>
      </c>
      <c r="B6" s="8" t="n">
        <f aca="false">SUM(B2:B5)</f>
        <v>18</v>
      </c>
      <c r="C6" s="8" t="n">
        <f aca="false">SUM(C2:C5)</f>
        <v>0</v>
      </c>
      <c r="D6" s="9" t="n">
        <f aca="false">IF(B6=0,0,C6/B6)</f>
        <v>0</v>
      </c>
    </row>
    <row r="8" customFormat="false" ht="15" hidden="false" customHeight="false" outlineLevel="0" collapsed="false">
      <c r="A8" s="10" t="s">
        <v>67</v>
      </c>
    </row>
    <row r="9" customFormat="false" ht="15" hidden="false" customHeight="false" outlineLevel="0" collapsed="false">
      <c r="A9" s="11" t="s">
        <v>68</v>
      </c>
    </row>
    <row r="10" customFormat="false" ht="15" hidden="false" customHeight="false" outlineLevel="0" collapsed="false">
      <c r="A10" s="11" t="s">
        <v>69</v>
      </c>
    </row>
    <row r="11" customFormat="false" ht="15" hidden="false" customHeight="false" outlineLevel="0" collapsed="false">
      <c r="A11" s="11" t="s">
        <v>70</v>
      </c>
    </row>
    <row r="12" customFormat="false" ht="15" hidden="false" customHeight="false" outlineLevel="0" collapsed="false">
      <c r="A12" s="1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2026-10-05T07:46:00Z</dcterms:created>
  <dc:creator>openpyxl</dc:creator>
  <dc:description/>
  <dc:language>en-US</dc:language>
  <cp:lastModifiedBy/>
  <dcterms:modified xsi:type="dcterms:W3CDTF">2026-10-05T07:46:00Z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